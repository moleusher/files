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 Jechura\Desktop\"/>
    </mc:Choice>
  </mc:AlternateContent>
  <bookViews>
    <workbookView xWindow="0" yWindow="0" windowWidth="20505" windowHeight="9833" xr2:uid="{DE302B72-62A5-43D0-88BA-D2B535CBF08A}"/>
  </bookViews>
  <sheets>
    <sheet name="Sheet1" sheetId="1" r:id="rId1"/>
  </sheets>
  <functionGroups builtInGroupCount="18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7" i="1" l="1"/>
  <c r="A27" i="1"/>
  <c r="A26" i="1"/>
  <c r="M27" i="1" l="1"/>
  <c r="J27" i="1"/>
  <c r="K26" i="1"/>
  <c r="J26" i="1"/>
  <c r="M26" i="1"/>
  <c r="D6" i="1"/>
  <c r="K5" i="1" l="1"/>
  <c r="C5" i="1"/>
  <c r="N4" i="1"/>
  <c r="O4" i="1" s="1"/>
  <c r="P4" i="1" s="1"/>
  <c r="N6" i="1"/>
  <c r="O6" i="1" s="1"/>
  <c r="N7" i="1"/>
  <c r="O7" i="1" s="1"/>
  <c r="N8" i="1"/>
  <c r="O8" i="1" s="1"/>
  <c r="N9" i="1"/>
  <c r="O9" i="1" s="1"/>
  <c r="N10" i="1"/>
  <c r="O10" i="1" s="1"/>
  <c r="N11" i="1"/>
  <c r="O11" i="1" s="1"/>
  <c r="N12" i="1"/>
  <c r="O12" i="1" s="1"/>
  <c r="N13" i="1"/>
  <c r="O13" i="1" s="1"/>
  <c r="N14" i="1"/>
  <c r="O14" i="1" s="1"/>
  <c r="N15" i="1"/>
  <c r="O15" i="1" s="1"/>
  <c r="D23" i="1"/>
  <c r="D24" i="1"/>
  <c r="D22" i="1"/>
  <c r="P14" i="1" l="1"/>
  <c r="L14" i="1"/>
  <c r="P6" i="1"/>
  <c r="L6" i="1"/>
  <c r="P13" i="1"/>
  <c r="L13" i="1"/>
  <c r="Q27" i="1"/>
  <c r="P9" i="1"/>
  <c r="L9" i="1"/>
  <c r="P12" i="1"/>
  <c r="Q26" i="1"/>
  <c r="L12" i="1"/>
  <c r="P8" i="1"/>
  <c r="L8" i="1"/>
  <c r="P10" i="1"/>
  <c r="L10" i="1"/>
  <c r="P15" i="1"/>
  <c r="L15" i="1"/>
  <c r="P11" i="1"/>
  <c r="L11" i="1"/>
  <c r="P7" i="1"/>
  <c r="L7" i="1"/>
  <c r="I14" i="1"/>
  <c r="I13" i="1" s="1"/>
  <c r="J5" i="1"/>
  <c r="F14" i="1"/>
  <c r="D15" i="1" s="1"/>
  <c r="F7" i="1"/>
  <c r="D8" i="1" s="1"/>
  <c r="F8" i="1"/>
  <c r="D9" i="1" s="1"/>
  <c r="F9" i="1"/>
  <c r="D10" i="1" s="1"/>
  <c r="F10" i="1"/>
  <c r="D11" i="1" s="1"/>
  <c r="F11" i="1"/>
  <c r="D12" i="1" s="1"/>
  <c r="F12" i="1"/>
  <c r="D13" i="1" s="1"/>
  <c r="F13" i="1"/>
  <c r="D14" i="1" s="1"/>
  <c r="F6" i="1"/>
  <c r="B8" i="1"/>
  <c r="B9" i="1"/>
  <c r="B10" i="1"/>
  <c r="B11" i="1"/>
  <c r="B12" i="1"/>
  <c r="B13" i="1"/>
  <c r="B14" i="1"/>
  <c r="B15" i="1"/>
  <c r="B7" i="1"/>
  <c r="D7" i="1" l="1"/>
  <c r="I12" i="1"/>
  <c r="G14" i="1"/>
  <c r="H14" i="1"/>
  <c r="H15" i="1"/>
  <c r="G15" i="1"/>
  <c r="I11" i="1" l="1"/>
  <c r="G13" i="1"/>
  <c r="H13" i="1"/>
  <c r="I10" i="1" l="1"/>
  <c r="H12" i="1"/>
  <c r="G12" i="1"/>
  <c r="I9" i="1" l="1"/>
  <c r="H11" i="1"/>
  <c r="G11" i="1"/>
  <c r="I8" i="1" l="1"/>
  <c r="G10" i="1"/>
  <c r="H10" i="1"/>
  <c r="I7" i="1" l="1"/>
  <c r="G9" i="1"/>
  <c r="H9" i="1"/>
  <c r="I6" i="1" l="1"/>
  <c r="H8" i="1"/>
  <c r="G8" i="1"/>
  <c r="I5" i="1" l="1"/>
  <c r="G7" i="1"/>
  <c r="H7" i="1"/>
  <c r="U6" i="1"/>
  <c r="U8" i="1"/>
  <c r="U7" i="1"/>
  <c r="U9" i="1"/>
  <c r="U18" i="1"/>
  <c r="E9" i="1"/>
  <c r="U4" i="1"/>
  <c r="U20" i="1"/>
  <c r="U19" i="1"/>
  <c r="U21" i="1"/>
  <c r="U14" i="1"/>
  <c r="U11" i="1"/>
  <c r="U17" i="1"/>
  <c r="U5" i="1"/>
  <c r="U24" i="1"/>
  <c r="U29" i="1"/>
  <c r="U15" i="1"/>
  <c r="U10" i="1"/>
  <c r="U12" i="1"/>
  <c r="U16" i="1"/>
  <c r="U28" i="1"/>
  <c r="U13" i="1"/>
  <c r="U27" i="1"/>
  <c r="U22" i="1"/>
  <c r="U23" i="1"/>
  <c r="U25" i="1"/>
  <c r="U26" i="1"/>
  <c r="R9" i="1" l="1"/>
  <c r="G6" i="1"/>
  <c r="H6" i="1"/>
  <c r="V7" i="1"/>
  <c r="V6" i="1"/>
  <c r="V8" i="1"/>
  <c r="V9" i="1"/>
  <c r="V18" i="1"/>
  <c r="V4" i="1"/>
  <c r="V16" i="1"/>
  <c r="V27" i="1"/>
  <c r="V21" i="1"/>
  <c r="V23" i="1"/>
  <c r="V22" i="1"/>
  <c r="V19" i="1"/>
  <c r="V17" i="1"/>
  <c r="V11" i="1"/>
  <c r="V20" i="1"/>
  <c r="V25" i="1"/>
  <c r="V10" i="1"/>
  <c r="V26" i="1"/>
  <c r="V12" i="1"/>
  <c r="V15" i="1"/>
  <c r="V5" i="1"/>
  <c r="V24" i="1"/>
  <c r="V13" i="1"/>
  <c r="V29" i="1"/>
  <c r="V14" i="1"/>
  <c r="V28" i="1"/>
</calcChain>
</file>

<file path=xl/sharedStrings.xml><?xml version="1.0" encoding="utf-8"?>
<sst xmlns="http://schemas.openxmlformats.org/spreadsheetml/2006/main" count="46" uniqueCount="39">
  <si>
    <t>Cut Name</t>
  </si>
  <si>
    <t>Initial</t>
  </si>
  <si>
    <t>Final</t>
  </si>
  <si>
    <t>Cumulative Yield</t>
  </si>
  <si>
    <t>Mid</t>
  </si>
  <si>
    <t>Incremetal Yields</t>
  </si>
  <si>
    <t>vol%</t>
  </si>
  <si>
    <t>wt%</t>
  </si>
  <si>
    <t>Liquid Density stuff</t>
  </si>
  <si>
    <t>SpGr</t>
  </si>
  <si>
    <t>API</t>
  </si>
  <si>
    <t>Sulfur</t>
  </si>
  <si>
    <t>Watson K</t>
  </si>
  <si>
    <t>Whole Crude</t>
  </si>
  <si>
    <t>Light Ends</t>
  </si>
  <si>
    <t>BPT [C]</t>
  </si>
  <si>
    <t>BPT [F]</t>
  </si>
  <si>
    <t>Atm Resid 369-FBP</t>
  </si>
  <si>
    <t>550-FBP</t>
  </si>
  <si>
    <t>@ 15C</t>
  </si>
  <si>
    <t>SpGr @ 15C</t>
  </si>
  <si>
    <t>Light Naphtha, C5 to 95°C</t>
  </si>
  <si>
    <t>Heavy Naphtha, 95-149°C</t>
  </si>
  <si>
    <t>149-175°C</t>
  </si>
  <si>
    <t>Kerosine, 175-232°C</t>
  </si>
  <si>
    <t>Light Gas Oil, 232-342°C</t>
  </si>
  <si>
    <t>Light VGO, 369-509°C</t>
  </si>
  <si>
    <t>Heavy VGO, 509-550°C</t>
  </si>
  <si>
    <t>550-585°C</t>
  </si>
  <si>
    <t>Vacuum Resid, 585°-FBP</t>
  </si>
  <si>
    <t>Curves for plots</t>
  </si>
  <si>
    <t>Yield</t>
  </si>
  <si>
    <t>Vol%</t>
  </si>
  <si>
    <t>°F</t>
  </si>
  <si>
    <t>--&gt;</t>
  </si>
  <si>
    <t>&lt;--</t>
  </si>
  <si>
    <t>Heavy Gas Oil, 342-369°C</t>
  </si>
  <si>
    <t>VAC Resid, 509-FBP</t>
  </si>
  <si>
    <t>Check wt%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</si>
</sst>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"/>
  </numFmts>
  <fonts count="5" x14ac:knownFonts="1"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theme="1"/>
      <name val="Calibri"/>
      <family val="2"/>
    </font>
    <font>
      <b/>
      <sz val="11"/>
      <name val="Calibri"/>
      <family val="2"/>
    </font>
    <font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2" fillId="0" borderId="0" xfId="0" quotePrefix="1" applyFont="1" applyAlignment="1">
      <alignment horizontal="right"/>
    </xf>
    <xf numFmtId="0" fontId="2" fillId="0" borderId="0" xfId="0" quotePrefix="1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2" fillId="2" borderId="0" xfId="0" applyFont="1" applyFill="1"/>
    <xf numFmtId="165" fontId="2" fillId="0" borderId="0" xfId="0" applyNumberFormat="1" applyFont="1"/>
    <xf numFmtId="164" fontId="2" fillId="0" borderId="0" xfId="0" applyNumberFormat="1" applyFont="1"/>
    <xf numFmtId="2" fontId="2" fillId="0" borderId="0" xfId="0" applyNumberFormat="1" applyFont="1"/>
    <xf numFmtId="0" fontId="3" fillId="2" borderId="0" xfId="0" applyFont="1" applyFill="1"/>
    <xf numFmtId="166" fontId="2" fillId="0" borderId="0" xfId="0" applyNumberFormat="1" applyFont="1"/>
    <xf numFmtId="165" fontId="4" fillId="0" borderId="0" xfId="0" applyNumberFormat="1" applyFont="1"/>
    <xf numFmtId="0" fontId="4" fillId="0" borderId="0" xfId="0" applyFont="1"/>
    <xf numFmtId="164" fontId="1" fillId="0" borderId="0" xfId="0" applyNumberFormat="1" applyFont="1"/>
    <xf numFmtId="2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</a:t>
            </a:r>
            <a:r>
              <a:rPr lang="en-US" baseline="0"/>
              <a:t> Yield Chart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Sheet1!$F$5:$F$14</c:f>
              <c:numCache>
                <c:formatCode>General</c:formatCode>
                <c:ptCount val="10"/>
                <c:pt idx="0">
                  <c:v>32.04</c:v>
                </c:pt>
                <c:pt idx="1">
                  <c:v>203</c:v>
                </c:pt>
                <c:pt idx="2">
                  <c:v>300.2</c:v>
                </c:pt>
                <c:pt idx="3">
                  <c:v>347</c:v>
                </c:pt>
                <c:pt idx="4">
                  <c:v>449.6</c:v>
                </c:pt>
                <c:pt idx="5">
                  <c:v>647.6</c:v>
                </c:pt>
                <c:pt idx="6">
                  <c:v>696.2</c:v>
                </c:pt>
                <c:pt idx="7">
                  <c:v>948.2</c:v>
                </c:pt>
                <c:pt idx="8">
                  <c:v>1022</c:v>
                </c:pt>
                <c:pt idx="9">
                  <c:v>1085</c:v>
                </c:pt>
              </c:numCache>
            </c:numRef>
          </c:xVal>
          <c:yVal>
            <c:numRef>
              <c:f>Sheet1!$I$5:$I$14</c:f>
              <c:numCache>
                <c:formatCode>General</c:formatCode>
                <c:ptCount val="10"/>
                <c:pt idx="0">
                  <c:v>0.19999999999999352</c:v>
                </c:pt>
                <c:pt idx="1">
                  <c:v>1.5499999999999936</c:v>
                </c:pt>
                <c:pt idx="2">
                  <c:v>4.5499999999999936</c:v>
                </c:pt>
                <c:pt idx="3">
                  <c:v>6.4999999999999938</c:v>
                </c:pt>
                <c:pt idx="4">
                  <c:v>13.299999999999994</c:v>
                </c:pt>
                <c:pt idx="5">
                  <c:v>39.849999999999994</c:v>
                </c:pt>
                <c:pt idx="6">
                  <c:v>46.499999999999993</c:v>
                </c:pt>
                <c:pt idx="7">
                  <c:v>76.599999999999994</c:v>
                </c:pt>
                <c:pt idx="8">
                  <c:v>82.149999999999991</c:v>
                </c:pt>
                <c:pt idx="9">
                  <c:v>86.05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A-4B60-AB6E-B80390ADF492}"/>
            </c:ext>
          </c:extLst>
        </c:ser>
        <c:ser>
          <c:idx val="1"/>
          <c:order val="1"/>
          <c:spPr>
            <a:ln w="254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Sheet1!$U$4:$U$29</c:f>
              <c:numCache>
                <c:formatCode>General</c:formatCode>
                <c:ptCount val="26"/>
                <c:pt idx="0">
                  <c:v>32.040000000002422</c:v>
                </c:pt>
                <c:pt idx="1">
                  <c:v>162.86725411282657</c:v>
                </c:pt>
                <c:pt idx="2">
                  <c:v>224.50889127495074</c:v>
                </c:pt>
                <c:pt idx="3">
                  <c:v>260.51295827603946</c:v>
                </c:pt>
                <c:pt idx="4">
                  <c:v>287.59741540846738</c:v>
                </c:pt>
                <c:pt idx="5">
                  <c:v>312.24066304955829</c:v>
                </c:pt>
                <c:pt idx="6">
                  <c:v>406.38481791723456</c:v>
                </c:pt>
                <c:pt idx="7">
                  <c:v>467.17221285084526</c:v>
                </c:pt>
                <c:pt idx="8">
                  <c:v>512.2818701512673</c:v>
                </c:pt>
                <c:pt idx="9">
                  <c:v>550.98193947498157</c:v>
                </c:pt>
                <c:pt idx="10">
                  <c:v>585.73579780360194</c:v>
                </c:pt>
                <c:pt idx="11">
                  <c:v>617.94042690533706</c:v>
                </c:pt>
                <c:pt idx="12">
                  <c:v>648.71452635225342</c:v>
                </c:pt>
                <c:pt idx="13">
                  <c:v>685.34978694080905</c:v>
                </c:pt>
                <c:pt idx="14">
                  <c:v>723.40918469769201</c:v>
                </c:pt>
                <c:pt idx="15">
                  <c:v>762.33170852309172</c:v>
                </c:pt>
                <c:pt idx="16">
                  <c:v>801.88127579561569</c:v>
                </c:pt>
                <c:pt idx="17">
                  <c:v>842.75889253951186</c:v>
                </c:pt>
                <c:pt idx="18">
                  <c:v>885.83774336554268</c:v>
                </c:pt>
                <c:pt idx="19">
                  <c:v>932.32659668653878</c:v>
                </c:pt>
                <c:pt idx="20">
                  <c:v>991.97699440772249</c:v>
                </c:pt>
                <c:pt idx="21">
                  <c:v>1066.9998939481491</c:v>
                </c:pt>
                <c:pt idx="22">
                  <c:v>1162.6353897509723</c:v>
                </c:pt>
                <c:pt idx="23">
                  <c:v>1304.3816010218638</c:v>
                </c:pt>
                <c:pt idx="24">
                  <c:v>1570.273919809571</c:v>
                </c:pt>
                <c:pt idx="25">
                  <c:v>1868.3116564618731</c:v>
                </c:pt>
              </c:numCache>
            </c:numRef>
          </c:xVal>
          <c:yVal>
            <c:numRef>
              <c:f>Sheet1!$T$4:$T$29</c:f>
              <c:numCache>
                <c:formatCode>General</c:formatCode>
                <c:ptCount val="26"/>
                <c:pt idx="0">
                  <c:v>0.2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  <c:pt idx="11">
                  <c:v>35</c:v>
                </c:pt>
                <c:pt idx="12">
                  <c:v>40</c:v>
                </c:pt>
                <c:pt idx="13">
                  <c:v>45</c:v>
                </c:pt>
                <c:pt idx="14">
                  <c:v>50</c:v>
                </c:pt>
                <c:pt idx="15">
                  <c:v>55</c:v>
                </c:pt>
                <c:pt idx="16">
                  <c:v>60</c:v>
                </c:pt>
                <c:pt idx="17">
                  <c:v>65</c:v>
                </c:pt>
                <c:pt idx="18">
                  <c:v>70</c:v>
                </c:pt>
                <c:pt idx="19">
                  <c:v>75</c:v>
                </c:pt>
                <c:pt idx="20">
                  <c:v>80</c:v>
                </c:pt>
                <c:pt idx="21">
                  <c:v>85</c:v>
                </c:pt>
                <c:pt idx="22">
                  <c:v>90</c:v>
                </c:pt>
                <c:pt idx="23">
                  <c:v>95</c:v>
                </c:pt>
                <c:pt idx="24">
                  <c:v>99</c:v>
                </c:pt>
                <c:pt idx="25">
                  <c:v>99.9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8A-4B60-AB6E-B80390ADF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8041536"/>
        <c:axId val="838039240"/>
      </c:scatterChart>
      <c:valAx>
        <c:axId val="83804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 [°F]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039240"/>
        <c:crosses val="autoZero"/>
        <c:crossBetween val="midCat"/>
      </c:valAx>
      <c:valAx>
        <c:axId val="83803924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Cumulative Yield [vol%]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041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API Gravity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Sheet1!$H$6:$H$15</c:f>
              <c:numCache>
                <c:formatCode>General</c:formatCode>
                <c:ptCount val="10"/>
                <c:pt idx="0">
                  <c:v>0.87499999999999356</c:v>
                </c:pt>
                <c:pt idx="1">
                  <c:v>3.0499999999999936</c:v>
                </c:pt>
                <c:pt idx="2">
                  <c:v>5.5249999999999932</c:v>
                </c:pt>
                <c:pt idx="3">
                  <c:v>9.8999999999999932</c:v>
                </c:pt>
                <c:pt idx="4">
                  <c:v>26.574999999999996</c:v>
                </c:pt>
                <c:pt idx="5">
                  <c:v>43.174999999999997</c:v>
                </c:pt>
                <c:pt idx="6">
                  <c:v>61.55</c:v>
                </c:pt>
                <c:pt idx="7">
                  <c:v>79.375</c:v>
                </c:pt>
                <c:pt idx="8">
                  <c:v>84.1</c:v>
                </c:pt>
                <c:pt idx="9">
                  <c:v>93.025000000000006</c:v>
                </c:pt>
              </c:numCache>
            </c:numRef>
          </c:xVal>
          <c:yVal>
            <c:numRef>
              <c:f>Sheet1!$P$6:$P$15</c:f>
              <c:numCache>
                <c:formatCode>0.0</c:formatCode>
                <c:ptCount val="10"/>
                <c:pt idx="0">
                  <c:v>67.493740378646578</c:v>
                </c:pt>
                <c:pt idx="1">
                  <c:v>51.157277772939892</c:v>
                </c:pt>
                <c:pt idx="2">
                  <c:v>43.792439087402897</c:v>
                </c:pt>
                <c:pt idx="3">
                  <c:v>35.76210089561755</c:v>
                </c:pt>
                <c:pt idx="4">
                  <c:v>29.989187488030723</c:v>
                </c:pt>
                <c:pt idx="5">
                  <c:v>27.089338374011788</c:v>
                </c:pt>
                <c:pt idx="6">
                  <c:v>22.794886385506061</c:v>
                </c:pt>
                <c:pt idx="7">
                  <c:v>20.194460216701458</c:v>
                </c:pt>
                <c:pt idx="8">
                  <c:v>18.870829270286549</c:v>
                </c:pt>
                <c:pt idx="9">
                  <c:v>9.6207676725783813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39-46D4-945E-1350BFD90487}"/>
            </c:ext>
          </c:extLst>
        </c:ser>
        <c:ser>
          <c:idx val="1"/>
          <c:order val="1"/>
          <c:spPr>
            <a:ln w="254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Sheet1!$T$4:$T$29</c:f>
              <c:numCache>
                <c:formatCode>General</c:formatCode>
                <c:ptCount val="26"/>
                <c:pt idx="0">
                  <c:v>0.2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  <c:pt idx="11">
                  <c:v>35</c:v>
                </c:pt>
                <c:pt idx="12">
                  <c:v>40</c:v>
                </c:pt>
                <c:pt idx="13">
                  <c:v>45</c:v>
                </c:pt>
                <c:pt idx="14">
                  <c:v>50</c:v>
                </c:pt>
                <c:pt idx="15">
                  <c:v>55</c:v>
                </c:pt>
                <c:pt idx="16">
                  <c:v>60</c:v>
                </c:pt>
                <c:pt idx="17">
                  <c:v>65</c:v>
                </c:pt>
                <c:pt idx="18">
                  <c:v>70</c:v>
                </c:pt>
                <c:pt idx="19">
                  <c:v>75</c:v>
                </c:pt>
                <c:pt idx="20">
                  <c:v>80</c:v>
                </c:pt>
                <c:pt idx="21">
                  <c:v>85</c:v>
                </c:pt>
                <c:pt idx="22">
                  <c:v>90</c:v>
                </c:pt>
                <c:pt idx="23">
                  <c:v>95</c:v>
                </c:pt>
                <c:pt idx="24">
                  <c:v>99</c:v>
                </c:pt>
                <c:pt idx="25">
                  <c:v>99.9</c:v>
                </c:pt>
              </c:numCache>
            </c:numRef>
          </c:xVal>
          <c:yVal>
            <c:numRef>
              <c:f>Sheet1!$V$4:$V$29</c:f>
              <c:numCache>
                <c:formatCode>General</c:formatCode>
                <c:ptCount val="26"/>
                <c:pt idx="0">
                  <c:v>72.563677049383088</c:v>
                </c:pt>
                <c:pt idx="1">
                  <c:v>66.554863217399017</c:v>
                </c:pt>
                <c:pt idx="2">
                  <c:v>59.043845927418928</c:v>
                </c:pt>
                <c:pt idx="3">
                  <c:v>51.532828637438847</c:v>
                </c:pt>
                <c:pt idx="4">
                  <c:v>48.330369994652948</c:v>
                </c:pt>
                <c:pt idx="5">
                  <c:v>45.354677596456177</c:v>
                </c:pt>
                <c:pt idx="6">
                  <c:v>35.727480725257209</c:v>
                </c:pt>
                <c:pt idx="7">
                  <c:v>33.996472207240167</c:v>
                </c:pt>
                <c:pt idx="8">
                  <c:v>32.265463689223125</c:v>
                </c:pt>
                <c:pt idx="9">
                  <c:v>30.534455171206091</c:v>
                </c:pt>
                <c:pt idx="10">
                  <c:v>29.390875246132236</c:v>
                </c:pt>
                <c:pt idx="11">
                  <c:v>28.517426717813279</c:v>
                </c:pt>
                <c:pt idx="12">
                  <c:v>27.643978189494327</c:v>
                </c:pt>
                <c:pt idx="13">
                  <c:v>26.662814571071763</c:v>
                </c:pt>
                <c:pt idx="14">
                  <c:v>25.494256206852519</c:v>
                </c:pt>
                <c:pt idx="15">
                  <c:v>24.325697842633272</c:v>
                </c:pt>
                <c:pt idx="16">
                  <c:v>23.157139478414027</c:v>
                </c:pt>
                <c:pt idx="17">
                  <c:v>22.291578094769687</c:v>
                </c:pt>
                <c:pt idx="18">
                  <c:v>21.562145789354648</c:v>
                </c:pt>
                <c:pt idx="19">
                  <c:v>20.832713483939614</c:v>
                </c:pt>
                <c:pt idx="20">
                  <c:v>20.019376758180968</c:v>
                </c:pt>
                <c:pt idx="21">
                  <c:v>17.938049949509249</c:v>
                </c:pt>
                <c:pt idx="22">
                  <c:v>12.755942611857623</c:v>
                </c:pt>
                <c:pt idx="23">
                  <c:v>7.5738352742059956</c:v>
                </c:pt>
                <c:pt idx="24">
                  <c:v>3.4281494040846923</c:v>
                </c:pt>
                <c:pt idx="25">
                  <c:v>2.4953700833073924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39-46D4-945E-1350BFD90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0954968"/>
        <c:axId val="660955296"/>
      </c:scatterChart>
      <c:valAx>
        <c:axId val="660954968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Cumulative Yield [vol%]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955296"/>
        <c:crosses val="autoZero"/>
        <c:crossBetween val="midCat"/>
      </c:valAx>
      <c:valAx>
        <c:axId val="66095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API Gravity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954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30</xdr:row>
      <xdr:rowOff>163286</xdr:rowOff>
    </xdr:from>
    <xdr:to>
      <xdr:col>9</xdr:col>
      <xdr:colOff>419099</xdr:colOff>
      <xdr:row>46</xdr:row>
      <xdr:rowOff>10886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0521A2-7020-429B-AC56-DA920A5AA3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31</xdr:row>
      <xdr:rowOff>0</xdr:rowOff>
    </xdr:from>
    <xdr:to>
      <xdr:col>21</xdr:col>
      <xdr:colOff>38101</xdr:colOff>
      <xdr:row>46</xdr:row>
      <xdr:rowOff>31297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B04937-0C28-4065-AC7F-234064EC5C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DAB70-3A3D-430D-A874-A9D763146EBF}">
  <sheetPr codeName="Sheet1"/>
  <dimension ref="A1:X29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L6" sqref="L6"/>
    </sheetView>
  </sheetViews>
  <sheetFormatPr defaultRowHeight="14.25" x14ac:dyDescent="0.45"/>
  <cols>
    <col min="1" max="1" width="22.796875" style="1" customWidth="1"/>
    <col min="2" max="11" width="9.06640625" style="1"/>
    <col min="12" max="12" width="9.6640625" style="1" bestFit="1" customWidth="1"/>
    <col min="13" max="13" width="9.06640625" style="1"/>
    <col min="14" max="14" width="10.3984375" style="1" customWidth="1"/>
    <col min="15" max="19" width="9.06640625" style="1"/>
    <col min="20" max="23" width="9.06640625" style="1" customWidth="1"/>
    <col min="24" max="16384" width="9.06640625" style="1"/>
  </cols>
  <sheetData>
    <row r="1" spans="1:24" x14ac:dyDescent="0.45">
      <c r="S1" s="2" t="s">
        <v>34</v>
      </c>
      <c r="T1" s="1" t="s">
        <v>30</v>
      </c>
      <c r="X1" s="3" t="s">
        <v>35</v>
      </c>
    </row>
    <row r="2" spans="1:24" x14ac:dyDescent="0.45">
      <c r="B2" s="4" t="s">
        <v>15</v>
      </c>
      <c r="C2" s="4"/>
      <c r="D2" s="4" t="s">
        <v>16</v>
      </c>
      <c r="E2" s="4"/>
      <c r="F2" s="4"/>
      <c r="G2" s="4" t="s">
        <v>3</v>
      </c>
      <c r="H2" s="4"/>
      <c r="I2" s="4"/>
      <c r="J2" s="4" t="s">
        <v>5</v>
      </c>
      <c r="K2" s="4"/>
      <c r="M2" s="4" t="s">
        <v>8</v>
      </c>
      <c r="N2" s="4"/>
      <c r="O2" s="4"/>
      <c r="P2" s="4"/>
      <c r="T2" s="1" t="s">
        <v>31</v>
      </c>
    </row>
    <row r="3" spans="1:24" s="5" customFormat="1" x14ac:dyDescent="0.45">
      <c r="A3" s="5" t="s">
        <v>0</v>
      </c>
      <c r="B3" s="5" t="s">
        <v>1</v>
      </c>
      <c r="C3" s="5" t="s">
        <v>2</v>
      </c>
      <c r="D3" s="5" t="s">
        <v>1</v>
      </c>
      <c r="E3" s="5" t="s">
        <v>4</v>
      </c>
      <c r="F3" s="5" t="s">
        <v>2</v>
      </c>
      <c r="G3" s="5" t="s">
        <v>1</v>
      </c>
      <c r="H3" s="5" t="s">
        <v>4</v>
      </c>
      <c r="I3" s="5" t="s">
        <v>2</v>
      </c>
      <c r="J3" s="5" t="s">
        <v>6</v>
      </c>
      <c r="K3" s="5" t="s">
        <v>7</v>
      </c>
      <c r="L3" s="5" t="s">
        <v>38</v>
      </c>
      <c r="M3" s="6" t="s">
        <v>19</v>
      </c>
      <c r="N3" s="6" t="s">
        <v>20</v>
      </c>
      <c r="O3" s="5" t="s">
        <v>9</v>
      </c>
      <c r="P3" s="5" t="s">
        <v>10</v>
      </c>
      <c r="Q3" s="5" t="s">
        <v>11</v>
      </c>
      <c r="R3" s="5" t="s">
        <v>12</v>
      </c>
      <c r="T3" s="5" t="s">
        <v>32</v>
      </c>
      <c r="U3" s="5" t="s">
        <v>33</v>
      </c>
      <c r="V3" s="5" t="s">
        <v>10</v>
      </c>
      <c r="W3" s="5" t="s">
        <v>11</v>
      </c>
    </row>
    <row r="4" spans="1:24" x14ac:dyDescent="0.45">
      <c r="A4" s="1" t="s">
        <v>13</v>
      </c>
      <c r="M4" s="7">
        <v>0.90249999999999997</v>
      </c>
      <c r="N4" s="8">
        <f>M4 / 0.999016</f>
        <v>0.9033889347117563</v>
      </c>
      <c r="O4" s="8">
        <f>SQRT(N4^2 + 0.000601*(59-60))</f>
        <v>0.90305623709691629</v>
      </c>
      <c r="P4" s="9">
        <f>141.5/O4 -131.5</f>
        <v>25.190130899139319</v>
      </c>
      <c r="Q4" s="7">
        <v>0.45800000000000002</v>
      </c>
      <c r="T4" s="1">
        <v>0.2</v>
      </c>
      <c r="U4" s="1">
        <f>Interpolate_DistCurve(T4,TRUE,$F$5:$F$14,$I$5:$I$14,FALSE)</f>
        <v>32.040000000002422</v>
      </c>
      <c r="V4" s="1">
        <f>Interpolate(T4,$H$6:$H$15,$P$6:$P$15)</f>
        <v>72.563677049383088</v>
      </c>
    </row>
    <row r="5" spans="1:24" x14ac:dyDescent="0.45">
      <c r="A5" s="1" t="s">
        <v>14</v>
      </c>
      <c r="C5" s="10">
        <f>(F5-32)/1.8</f>
        <v>2.2222222222221748E-2</v>
      </c>
      <c r="F5" s="11">
        <v>32.04</v>
      </c>
      <c r="I5" s="1">
        <f t="shared" ref="I5:I13" si="0">I6 - J6</f>
        <v>0.19999999999999352</v>
      </c>
      <c r="J5" s="1">
        <f>100 - SUM(J6:J15)</f>
        <v>0.19999999999998863</v>
      </c>
      <c r="K5" s="14">
        <f>100 - SUM(K6:K15)</f>
        <v>0.14999999999999147</v>
      </c>
      <c r="T5" s="1">
        <v>1</v>
      </c>
      <c r="U5" s="1">
        <f t="shared" ref="U5:U14" si="1">Interpolate_DistCurve(T5,TRUE,$F$5:$F$14,$I$5:$I$14,FALSE)</f>
        <v>162.86725411282657</v>
      </c>
      <c r="V5" s="1">
        <f t="shared" ref="V5:V14" si="2">Interpolate(T5,$H$6:$H$15,$P$6:$P$15)</f>
        <v>66.554863217399017</v>
      </c>
    </row>
    <row r="6" spans="1:24" x14ac:dyDescent="0.45">
      <c r="A6" s="1" t="s">
        <v>21</v>
      </c>
      <c r="C6" s="7">
        <v>95</v>
      </c>
      <c r="D6" s="1">
        <f>F5</f>
        <v>32.04</v>
      </c>
      <c r="F6" s="1">
        <f>C6*1.8 + 32</f>
        <v>203</v>
      </c>
      <c r="G6" s="1">
        <f t="shared" ref="G6:G15" si="3">I5</f>
        <v>0.19999999999999352</v>
      </c>
      <c r="H6" s="1">
        <f t="shared" ref="H6:H14" si="4">AVERAGE(I5:I6)</f>
        <v>0.87499999999999356</v>
      </c>
      <c r="I6" s="1">
        <f t="shared" si="0"/>
        <v>1.5499999999999936</v>
      </c>
      <c r="J6" s="7">
        <v>1.35</v>
      </c>
      <c r="K6" s="7">
        <v>1.05</v>
      </c>
      <c r="L6" s="10">
        <f>J6*O6/O$4</f>
        <v>1.0630066871014849</v>
      </c>
      <c r="M6" s="7">
        <v>0.71079999999999999</v>
      </c>
      <c r="N6" s="13">
        <f t="shared" ref="N6:N15" si="5">M6 / 0.999016</f>
        <v>0.71150011611425645</v>
      </c>
      <c r="O6" s="13">
        <f t="shared" ref="O6:O15" si="6">SQRT(N6^2 + 0.000601*(59-60))</f>
        <v>0.7110776436020193</v>
      </c>
      <c r="P6" s="9">
        <f t="shared" ref="P6:P15" si="7">141.5/O6 -131.5</f>
        <v>67.493740378646578</v>
      </c>
      <c r="Q6" s="7">
        <v>5.0000000000000001E-3</v>
      </c>
      <c r="T6" s="1">
        <v>2</v>
      </c>
      <c r="U6" s="1">
        <f t="shared" ref="U6:U9" si="8">Interpolate_DistCurve(T6,TRUE,$F$5:$F$14,$I$5:$I$14,FALSE)</f>
        <v>224.50889127495074</v>
      </c>
      <c r="V6" s="1">
        <f t="shared" ref="V6:V9" si="9">Interpolate(T6,$H$6:$H$15,$P$6:$P$15)</f>
        <v>59.043845927418928</v>
      </c>
    </row>
    <row r="7" spans="1:24" x14ac:dyDescent="0.45">
      <c r="A7" s="1" t="s">
        <v>22</v>
      </c>
      <c r="B7" s="1">
        <f>C6</f>
        <v>95</v>
      </c>
      <c r="C7" s="7">
        <v>149</v>
      </c>
      <c r="D7" s="1">
        <f t="shared" ref="D7:D15" si="10">F6</f>
        <v>203</v>
      </c>
      <c r="F7" s="1">
        <f>C7*1.8 + 32</f>
        <v>300.2</v>
      </c>
      <c r="G7" s="1">
        <f t="shared" si="3"/>
        <v>1.5499999999999936</v>
      </c>
      <c r="H7" s="1">
        <f t="shared" si="4"/>
        <v>3.0499999999999936</v>
      </c>
      <c r="I7" s="1">
        <f t="shared" si="0"/>
        <v>4.5499999999999936</v>
      </c>
      <c r="J7" s="7">
        <v>3</v>
      </c>
      <c r="K7" s="7">
        <v>2.5499999999999998</v>
      </c>
      <c r="L7" s="10">
        <f t="shared" ref="L7:L15" si="11">J7*O7/O$4</f>
        <v>2.5735103382070514</v>
      </c>
      <c r="M7" s="7">
        <v>0.77429999999999999</v>
      </c>
      <c r="N7" s="13">
        <f t="shared" si="5"/>
        <v>0.77506266165907245</v>
      </c>
      <c r="O7" s="13">
        <f t="shared" si="6"/>
        <v>0.77467485405042413</v>
      </c>
      <c r="P7" s="9">
        <f t="shared" si="7"/>
        <v>51.157277772939892</v>
      </c>
      <c r="Q7" s="7">
        <v>6.0000000000000001E-3</v>
      </c>
      <c r="T7" s="1">
        <v>3</v>
      </c>
      <c r="U7" s="1">
        <f t="shared" si="8"/>
        <v>260.51295827603946</v>
      </c>
      <c r="V7" s="1">
        <f t="shared" si="9"/>
        <v>51.532828637438847</v>
      </c>
    </row>
    <row r="8" spans="1:24" x14ac:dyDescent="0.45">
      <c r="A8" s="1" t="s">
        <v>23</v>
      </c>
      <c r="B8" s="1">
        <f t="shared" ref="B8:B15" si="12">C7</f>
        <v>149</v>
      </c>
      <c r="C8" s="7">
        <v>175</v>
      </c>
      <c r="D8" s="1">
        <f t="shared" si="10"/>
        <v>300.2</v>
      </c>
      <c r="F8" s="1">
        <f t="shared" ref="F8:F14" si="13">C8*1.8 + 32</f>
        <v>347</v>
      </c>
      <c r="G8" s="1">
        <f t="shared" si="3"/>
        <v>4.5499999999999936</v>
      </c>
      <c r="H8" s="1">
        <f t="shared" si="4"/>
        <v>5.5249999999999932</v>
      </c>
      <c r="I8" s="1">
        <f t="shared" si="0"/>
        <v>6.4999999999999938</v>
      </c>
      <c r="J8" s="7">
        <v>1.95</v>
      </c>
      <c r="K8" s="7">
        <v>1.75</v>
      </c>
      <c r="L8" s="10">
        <f t="shared" si="11"/>
        <v>1.7430629458066524</v>
      </c>
      <c r="M8" s="7">
        <v>0.80679999999999996</v>
      </c>
      <c r="N8" s="13">
        <f t="shared" si="5"/>
        <v>0.80759467315838784</v>
      </c>
      <c r="O8" s="13">
        <f t="shared" si="6"/>
        <v>0.80722249480165209</v>
      </c>
      <c r="P8" s="9">
        <f t="shared" si="7"/>
        <v>43.792439087402897</v>
      </c>
      <c r="Q8" s="7">
        <v>2.1000000000000001E-2</v>
      </c>
      <c r="T8" s="1">
        <v>4</v>
      </c>
      <c r="U8" s="1">
        <f t="shared" si="8"/>
        <v>287.59741540846738</v>
      </c>
      <c r="V8" s="1">
        <f t="shared" si="9"/>
        <v>48.330369994652948</v>
      </c>
    </row>
    <row r="9" spans="1:24" x14ac:dyDescent="0.45">
      <c r="A9" s="1" t="s">
        <v>24</v>
      </c>
      <c r="B9" s="1">
        <f t="shared" si="12"/>
        <v>175</v>
      </c>
      <c r="C9" s="7">
        <v>232</v>
      </c>
      <c r="D9" s="1">
        <f t="shared" si="10"/>
        <v>347</v>
      </c>
      <c r="E9" s="15">
        <f>Interpolate_DistCurve(H9,TRUE,$F$5:$F$14,$I$5:$I$14,FALSE)</f>
        <v>404.92439582046768</v>
      </c>
      <c r="F9" s="1">
        <f t="shared" si="13"/>
        <v>449.6</v>
      </c>
      <c r="G9" s="1">
        <f t="shared" si="3"/>
        <v>6.4999999999999938</v>
      </c>
      <c r="H9" s="1">
        <f t="shared" si="4"/>
        <v>9.8999999999999932</v>
      </c>
      <c r="I9" s="1">
        <f t="shared" si="0"/>
        <v>13.299999999999994</v>
      </c>
      <c r="J9" s="7">
        <v>6.8</v>
      </c>
      <c r="K9" s="7">
        <v>6.35</v>
      </c>
      <c r="L9" s="10">
        <f t="shared" si="11"/>
        <v>6.3701991330306456</v>
      </c>
      <c r="M9" s="7">
        <v>0.84550000000000003</v>
      </c>
      <c r="N9" s="13">
        <f t="shared" si="5"/>
        <v>0.8463327914668034</v>
      </c>
      <c r="O9" s="13">
        <f t="shared" si="6"/>
        <v>0.84597765568127847</v>
      </c>
      <c r="P9" s="9">
        <f t="shared" si="7"/>
        <v>35.76210089561755</v>
      </c>
      <c r="Q9" s="7">
        <v>3.9E-2</v>
      </c>
      <c r="R9" s="16">
        <f>(E9+459.67)^(1/3) / O9</f>
        <v>11.261042035879168</v>
      </c>
      <c r="T9" s="1">
        <v>5</v>
      </c>
      <c r="U9" s="1">
        <f t="shared" si="8"/>
        <v>312.24066304955829</v>
      </c>
      <c r="V9" s="1">
        <f t="shared" si="9"/>
        <v>45.354677596456177</v>
      </c>
    </row>
    <row r="10" spans="1:24" x14ac:dyDescent="0.45">
      <c r="A10" s="1" t="s">
        <v>25</v>
      </c>
      <c r="B10" s="1">
        <f t="shared" si="12"/>
        <v>232</v>
      </c>
      <c r="C10" s="7">
        <v>342</v>
      </c>
      <c r="D10" s="1">
        <f t="shared" si="10"/>
        <v>449.6</v>
      </c>
      <c r="F10" s="1">
        <f t="shared" si="13"/>
        <v>647.6</v>
      </c>
      <c r="G10" s="1">
        <f t="shared" si="3"/>
        <v>13.299999999999994</v>
      </c>
      <c r="H10" s="1">
        <f t="shared" si="4"/>
        <v>26.574999999999996</v>
      </c>
      <c r="I10" s="1">
        <f t="shared" si="0"/>
        <v>39.849999999999994</v>
      </c>
      <c r="J10" s="7">
        <v>26.55</v>
      </c>
      <c r="K10" s="7">
        <v>25.75</v>
      </c>
      <c r="L10" s="10">
        <f t="shared" si="11"/>
        <v>25.761000102130613</v>
      </c>
      <c r="M10" s="7">
        <v>0.87570000000000003</v>
      </c>
      <c r="N10" s="13">
        <f t="shared" si="5"/>
        <v>0.87656253753693636</v>
      </c>
      <c r="O10" s="13">
        <f t="shared" si="6"/>
        <v>0.87621965408976821</v>
      </c>
      <c r="P10" s="9">
        <f t="shared" si="7"/>
        <v>29.989187488030723</v>
      </c>
      <c r="Q10" s="7">
        <v>0.189</v>
      </c>
      <c r="T10" s="1">
        <v>10</v>
      </c>
      <c r="U10" s="1">
        <f>Interpolate_DistCurve(T10,TRUE,$F$5:$F$14,$I$5:$I$14,FALSE)</f>
        <v>406.38481791723456</v>
      </c>
      <c r="V10" s="1">
        <f>Interpolate(T10,$H$6:$H$15,$P$6:$P$15)</f>
        <v>35.727480725257209</v>
      </c>
    </row>
    <row r="11" spans="1:24" x14ac:dyDescent="0.45">
      <c r="A11" s="1" t="s">
        <v>36</v>
      </c>
      <c r="B11" s="1">
        <f t="shared" si="12"/>
        <v>342</v>
      </c>
      <c r="C11" s="7">
        <v>369</v>
      </c>
      <c r="D11" s="1">
        <f t="shared" si="10"/>
        <v>647.6</v>
      </c>
      <c r="F11" s="1">
        <f t="shared" si="13"/>
        <v>696.2</v>
      </c>
      <c r="G11" s="1">
        <f t="shared" si="3"/>
        <v>39.849999999999994</v>
      </c>
      <c r="H11" s="1">
        <f t="shared" si="4"/>
        <v>43.174999999999997</v>
      </c>
      <c r="I11" s="1">
        <f t="shared" si="0"/>
        <v>46.499999999999993</v>
      </c>
      <c r="J11" s="7">
        <v>6.65</v>
      </c>
      <c r="K11" s="7">
        <v>6.6</v>
      </c>
      <c r="L11" s="10">
        <f t="shared" si="11"/>
        <v>6.5703620505804974</v>
      </c>
      <c r="M11" s="7">
        <v>0.89170000000000005</v>
      </c>
      <c r="N11" s="13">
        <f t="shared" si="5"/>
        <v>0.89257829704429159</v>
      </c>
      <c r="O11" s="13">
        <f t="shared" si="6"/>
        <v>0.89224156838520341</v>
      </c>
      <c r="P11" s="9">
        <f t="shared" si="7"/>
        <v>27.089338374011788</v>
      </c>
      <c r="Q11" s="7">
        <v>0.41599999999999998</v>
      </c>
      <c r="T11" s="1">
        <v>15</v>
      </c>
      <c r="U11" s="1">
        <f>Interpolate_DistCurve(T11,TRUE,$F$5:$F$14,$I$5:$I$14,FALSE)</f>
        <v>467.17221285084526</v>
      </c>
      <c r="V11" s="1">
        <f>Interpolate(T11,$H$6:$H$15,$P$6:$P$15)</f>
        <v>33.996472207240167</v>
      </c>
    </row>
    <row r="12" spans="1:24" x14ac:dyDescent="0.45">
      <c r="A12" s="1" t="s">
        <v>26</v>
      </c>
      <c r="B12" s="1">
        <f t="shared" si="12"/>
        <v>369</v>
      </c>
      <c r="C12" s="7">
        <v>509</v>
      </c>
      <c r="D12" s="1">
        <f t="shared" si="10"/>
        <v>696.2</v>
      </c>
      <c r="F12" s="1">
        <f t="shared" si="13"/>
        <v>948.2</v>
      </c>
      <c r="G12" s="1">
        <f t="shared" si="3"/>
        <v>46.499999999999993</v>
      </c>
      <c r="H12" s="1">
        <f t="shared" si="4"/>
        <v>61.55</v>
      </c>
      <c r="I12" s="1">
        <f t="shared" si="0"/>
        <v>76.599999999999994</v>
      </c>
      <c r="J12" s="7">
        <v>30.1</v>
      </c>
      <c r="K12" s="7">
        <v>30.55</v>
      </c>
      <c r="L12" s="10">
        <f t="shared" si="11"/>
        <v>30.567266683616637</v>
      </c>
      <c r="M12" s="7">
        <v>0.91649999999999998</v>
      </c>
      <c r="N12" s="13">
        <f t="shared" si="5"/>
        <v>0.91740272428069214</v>
      </c>
      <c r="O12" s="13">
        <f t="shared" si="6"/>
        <v>0.9170751106194277</v>
      </c>
      <c r="P12" s="9">
        <f t="shared" si="7"/>
        <v>22.794886385506061</v>
      </c>
      <c r="Q12" s="7">
        <v>0.46400000000000002</v>
      </c>
      <c r="T12" s="1">
        <v>20</v>
      </c>
      <c r="U12" s="1">
        <f>Interpolate_DistCurve(T12,TRUE,$F$5:$F$14,$I$5:$I$14,FALSE)</f>
        <v>512.2818701512673</v>
      </c>
      <c r="V12" s="1">
        <f>Interpolate(T12,$H$6:$H$15,$P$6:$P$15)</f>
        <v>32.265463689223125</v>
      </c>
    </row>
    <row r="13" spans="1:24" x14ac:dyDescent="0.45">
      <c r="A13" s="1" t="s">
        <v>27</v>
      </c>
      <c r="B13" s="1">
        <f t="shared" si="12"/>
        <v>509</v>
      </c>
      <c r="C13" s="7">
        <v>550</v>
      </c>
      <c r="D13" s="1">
        <f t="shared" si="10"/>
        <v>948.2</v>
      </c>
      <c r="F13" s="1">
        <f t="shared" si="13"/>
        <v>1022</v>
      </c>
      <c r="G13" s="1">
        <f t="shared" si="3"/>
        <v>76.599999999999994</v>
      </c>
      <c r="H13" s="1">
        <f t="shared" si="4"/>
        <v>79.375</v>
      </c>
      <c r="I13" s="1">
        <f t="shared" si="0"/>
        <v>82.149999999999991</v>
      </c>
      <c r="J13" s="7">
        <v>5.55</v>
      </c>
      <c r="K13" s="7">
        <v>5.7</v>
      </c>
      <c r="L13" s="10">
        <f t="shared" si="11"/>
        <v>5.7327751141862562</v>
      </c>
      <c r="M13" s="7">
        <v>0.93220000000000003</v>
      </c>
      <c r="N13" s="13">
        <f t="shared" si="5"/>
        <v>0.93311818829728455</v>
      </c>
      <c r="O13" s="13">
        <f t="shared" si="6"/>
        <v>0.93279609418736664</v>
      </c>
      <c r="P13" s="9">
        <f t="shared" si="7"/>
        <v>20.194460216701458</v>
      </c>
      <c r="Q13" s="7">
        <v>0.65400000000000003</v>
      </c>
      <c r="T13" s="1">
        <v>25</v>
      </c>
      <c r="U13" s="1">
        <f>Interpolate_DistCurve(T13,TRUE,$F$5:$F$14,$I$5:$I$14,FALSE)</f>
        <v>550.98193947498157</v>
      </c>
      <c r="V13" s="1">
        <f>Interpolate(T13,$H$6:$H$15,$P$6:$P$15)</f>
        <v>30.534455171206091</v>
      </c>
    </row>
    <row r="14" spans="1:24" x14ac:dyDescent="0.45">
      <c r="A14" s="1" t="s">
        <v>28</v>
      </c>
      <c r="B14" s="1">
        <f t="shared" si="12"/>
        <v>550</v>
      </c>
      <c r="C14" s="7">
        <v>585</v>
      </c>
      <c r="D14" s="1">
        <f t="shared" si="10"/>
        <v>1022</v>
      </c>
      <c r="F14" s="1">
        <f t="shared" si="13"/>
        <v>1085</v>
      </c>
      <c r="G14" s="1">
        <f t="shared" si="3"/>
        <v>82.149999999999991</v>
      </c>
      <c r="H14" s="1">
        <f t="shared" si="4"/>
        <v>84.1</v>
      </c>
      <c r="I14" s="1">
        <f>I15 - J15</f>
        <v>86.05</v>
      </c>
      <c r="J14" s="7">
        <v>3.9</v>
      </c>
      <c r="K14" s="7">
        <v>4.05</v>
      </c>
      <c r="L14" s="10">
        <f t="shared" si="11"/>
        <v>4.0638966578300018</v>
      </c>
      <c r="M14" s="7">
        <v>0.94040000000000001</v>
      </c>
      <c r="N14" s="13">
        <f t="shared" si="5"/>
        <v>0.9413262650448041</v>
      </c>
      <c r="O14" s="13">
        <f t="shared" si="6"/>
        <v>0.94100698045402453</v>
      </c>
      <c r="P14" s="9">
        <f t="shared" si="7"/>
        <v>18.870829270286549</v>
      </c>
      <c r="Q14" s="7">
        <v>0.75900000000000001</v>
      </c>
      <c r="T14" s="1">
        <v>30</v>
      </c>
      <c r="U14" s="1">
        <f>Interpolate_DistCurve(T14,TRUE,$F$5:$F$14,$I$5:$I$14,FALSE)</f>
        <v>585.73579780360194</v>
      </c>
      <c r="V14" s="1">
        <f>Interpolate(T14,$H$6:$H$15,$P$6:$P$15)</f>
        <v>29.390875246132236</v>
      </c>
    </row>
    <row r="15" spans="1:24" x14ac:dyDescent="0.45">
      <c r="A15" s="1" t="s">
        <v>29</v>
      </c>
      <c r="B15" s="1">
        <f t="shared" si="12"/>
        <v>585</v>
      </c>
      <c r="D15" s="1">
        <f t="shared" si="10"/>
        <v>1085</v>
      </c>
      <c r="G15" s="1">
        <f t="shared" si="3"/>
        <v>86.05</v>
      </c>
      <c r="H15" s="1">
        <f>AVERAGE(I14:I15)</f>
        <v>93.025000000000006</v>
      </c>
      <c r="I15" s="7">
        <v>100</v>
      </c>
      <c r="J15" s="7">
        <v>13.95</v>
      </c>
      <c r="K15" s="7">
        <v>15.5</v>
      </c>
      <c r="L15" s="10">
        <f t="shared" si="11"/>
        <v>15.489054956917785</v>
      </c>
      <c r="M15" s="7">
        <v>1.002</v>
      </c>
      <c r="N15" s="13">
        <f t="shared" si="5"/>
        <v>1.0029869391481216</v>
      </c>
      <c r="O15" s="13">
        <f t="shared" si="6"/>
        <v>1.0026872892889975</v>
      </c>
      <c r="P15" s="9">
        <f t="shared" si="7"/>
        <v>9.6207676725783813</v>
      </c>
      <c r="Q15" s="7">
        <v>1.0900000000000001</v>
      </c>
      <c r="T15" s="1">
        <v>35</v>
      </c>
      <c r="U15" s="1">
        <f>Interpolate_DistCurve(T15,TRUE,$F$5:$F$14,$I$5:$I$14,FALSE)</f>
        <v>617.94042690533706</v>
      </c>
      <c r="V15" s="1">
        <f>Interpolate(T15,$H$6:$H$15,$P$6:$P$15)</f>
        <v>28.517426717813279</v>
      </c>
    </row>
    <row r="16" spans="1:24" x14ac:dyDescent="0.45">
      <c r="T16" s="1">
        <v>40</v>
      </c>
      <c r="U16" s="1">
        <f>Interpolate_DistCurve(T16,TRUE,$F$5:$F$14,$I$5:$I$14,FALSE)</f>
        <v>648.71452635225342</v>
      </c>
      <c r="V16" s="1">
        <f>Interpolate(T16,$H$6:$H$15,$P$6:$P$15)</f>
        <v>27.643978189494327</v>
      </c>
    </row>
    <row r="17" spans="1:22" x14ac:dyDescent="0.45">
      <c r="T17" s="1">
        <v>45</v>
      </c>
      <c r="U17" s="1">
        <f>Interpolate_DistCurve(T17,TRUE,$F$5:$F$14,$I$5:$I$14,FALSE)</f>
        <v>685.34978694080905</v>
      </c>
      <c r="V17" s="1">
        <f>Interpolate(T17,$H$6:$H$15,$P$6:$P$15)</f>
        <v>26.662814571071763</v>
      </c>
    </row>
    <row r="18" spans="1:22" x14ac:dyDescent="0.45">
      <c r="T18" s="1">
        <v>50</v>
      </c>
      <c r="U18" s="1">
        <f>Interpolate_DistCurve(T18,TRUE,$F$5:$F$14,$I$5:$I$14,FALSE)</f>
        <v>723.40918469769201</v>
      </c>
      <c r="V18" s="1">
        <f>Interpolate(T18,$H$6:$H$15,$P$6:$P$15)</f>
        <v>25.494256206852519</v>
      </c>
    </row>
    <row r="19" spans="1:22" x14ac:dyDescent="0.45">
      <c r="T19" s="1">
        <v>55</v>
      </c>
      <c r="U19" s="1">
        <f>Interpolate_DistCurve(T19,TRUE,$F$5:$F$14,$I$5:$I$14,FALSE)</f>
        <v>762.33170852309172</v>
      </c>
      <c r="V19" s="1">
        <f>Interpolate(T19,$H$6:$H$15,$P$6:$P$15)</f>
        <v>24.325697842633272</v>
      </c>
    </row>
    <row r="20" spans="1:22" x14ac:dyDescent="0.45">
      <c r="T20" s="1">
        <v>60</v>
      </c>
      <c r="U20" s="1">
        <f>Interpolate_DistCurve(T20,TRUE,$F$5:$F$14,$I$5:$I$14,FALSE)</f>
        <v>801.88127579561569</v>
      </c>
      <c r="V20" s="1">
        <f>Interpolate(T20,$H$6:$H$15,$P$6:$P$15)</f>
        <v>23.157139478414027</v>
      </c>
    </row>
    <row r="21" spans="1:22" x14ac:dyDescent="0.45">
      <c r="T21" s="1">
        <v>65</v>
      </c>
      <c r="U21" s="1">
        <f>Interpolate_DistCurve(T21,TRUE,$F$5:$F$14,$I$5:$I$14,FALSE)</f>
        <v>842.75889253951186</v>
      </c>
      <c r="V21" s="1">
        <f>Interpolate(T21,$H$6:$H$15,$P$6:$P$15)</f>
        <v>22.291578094769687</v>
      </c>
    </row>
    <row r="22" spans="1:22" x14ac:dyDescent="0.45">
      <c r="A22" s="1" t="s">
        <v>17</v>
      </c>
      <c r="B22" s="7">
        <v>369</v>
      </c>
      <c r="D22" s="1">
        <f t="shared" ref="D22:D24" si="14">B22*1.8 + 32</f>
        <v>696.2</v>
      </c>
      <c r="J22" s="7">
        <v>53.5</v>
      </c>
      <c r="K22" s="7">
        <v>55.85</v>
      </c>
      <c r="M22" s="7">
        <v>0.94220000000000004</v>
      </c>
      <c r="Q22" s="7">
        <v>0.67900000000000005</v>
      </c>
      <c r="T22" s="1">
        <v>70</v>
      </c>
      <c r="U22" s="1">
        <f>Interpolate_DistCurve(T22,TRUE,$F$5:$F$14,$I$5:$I$14,FALSE)</f>
        <v>885.83774336554268</v>
      </c>
      <c r="V22" s="1">
        <f>Interpolate(T22,$H$6:$H$15,$P$6:$P$15)</f>
        <v>21.562145789354648</v>
      </c>
    </row>
    <row r="23" spans="1:22" x14ac:dyDescent="0.45">
      <c r="A23" s="1" t="s">
        <v>37</v>
      </c>
      <c r="B23" s="7">
        <v>509</v>
      </c>
      <c r="D23" s="1">
        <f t="shared" si="14"/>
        <v>948.2</v>
      </c>
      <c r="J23" s="7">
        <v>23.4</v>
      </c>
      <c r="K23" s="7">
        <v>25.3</v>
      </c>
      <c r="M23" s="7">
        <v>0.97519999999999996</v>
      </c>
      <c r="Q23" s="7">
        <v>0.93899999999999995</v>
      </c>
      <c r="T23" s="1">
        <v>75</v>
      </c>
      <c r="U23" s="1">
        <f>Interpolate_DistCurve(T23,TRUE,$F$5:$F$14,$I$5:$I$14,FALSE)</f>
        <v>932.32659668653878</v>
      </c>
      <c r="V23" s="1">
        <f>Interpolate(T23,$H$6:$H$15,$P$6:$P$15)</f>
        <v>20.832713483939614</v>
      </c>
    </row>
    <row r="24" spans="1:22" x14ac:dyDescent="0.45">
      <c r="A24" s="1" t="s">
        <v>18</v>
      </c>
      <c r="B24" s="7">
        <v>550</v>
      </c>
      <c r="D24" s="1">
        <f t="shared" si="14"/>
        <v>1022</v>
      </c>
      <c r="J24" s="7">
        <v>17.850000000000001</v>
      </c>
      <c r="K24" s="7">
        <v>19.55</v>
      </c>
      <c r="M24" s="7">
        <v>0.98850000000000005</v>
      </c>
      <c r="Q24" s="7">
        <v>1.02</v>
      </c>
      <c r="T24" s="1">
        <v>80</v>
      </c>
      <c r="U24" s="1">
        <f>Interpolate_DistCurve(T24,TRUE,$F$5:$F$14,$I$5:$I$14,FALSE)</f>
        <v>991.97699440772249</v>
      </c>
      <c r="V24" s="1">
        <f>Interpolate(T24,$H$6:$H$15,$P$6:$P$15)</f>
        <v>20.019376758180968</v>
      </c>
    </row>
    <row r="25" spans="1:22" x14ac:dyDescent="0.45">
      <c r="T25" s="1">
        <v>85</v>
      </c>
      <c r="U25" s="1">
        <f>Interpolate_DistCurve(T25,TRUE,$F$5:$F$14,$I$5:$I$14,FALSE)</f>
        <v>1066.9998939481491</v>
      </c>
      <c r="V25" s="1">
        <f>Interpolate(T25,$H$6:$H$15,$P$6:$P$15)</f>
        <v>17.938049949509249</v>
      </c>
    </row>
    <row r="26" spans="1:22" x14ac:dyDescent="0.45">
      <c r="A26" s="1" t="str">
        <f>"Check " &amp;A22</f>
        <v>Check Atm Resid 369-FBP</v>
      </c>
      <c r="J26" s="1">
        <f>SUM(J12:J15)</f>
        <v>53.5</v>
      </c>
      <c r="K26" s="10">
        <f>SUM(K12:K15)</f>
        <v>55.8</v>
      </c>
      <c r="M26" s="8">
        <f>SUMPRODUCT(J12:J15,M12:M15) / SUM(J12:J15)</f>
        <v>0.94216485981308418</v>
      </c>
      <c r="Q26" s="12">
        <f>SUMPRODUCT(J12:J15,O12:O15,Q12:Q15) / SUMPRODUCT(J12:J15,O12:O15)</f>
        <v>0.67856728559319812</v>
      </c>
      <c r="T26" s="1">
        <v>90</v>
      </c>
      <c r="U26" s="1">
        <f>Interpolate_DistCurve(T26,TRUE,$F$5:$F$14,$I$5:$I$14,FALSE)</f>
        <v>1162.6353897509723</v>
      </c>
      <c r="V26" s="1">
        <f>Interpolate(T26,$H$6:$H$15,$P$6:$P$15)</f>
        <v>12.755942611857623</v>
      </c>
    </row>
    <row r="27" spans="1:22" x14ac:dyDescent="0.45">
      <c r="A27" s="1" t="str">
        <f>"Check " &amp;A23</f>
        <v>Check VAC Resid, 509-FBP</v>
      </c>
      <c r="J27" s="1">
        <f>SUM(J13:J15)</f>
        <v>23.4</v>
      </c>
      <c r="K27" s="1">
        <f>SUM(K13:K15)</f>
        <v>25.25</v>
      </c>
      <c r="M27" s="8">
        <f>SUMPRODUCT(J13:J15,M13:M15) / SUM(J13:J15)</f>
        <v>0.97517820512820519</v>
      </c>
      <c r="Q27" s="12">
        <f>SUMPRODUCT(J13:J15,O13:O15,Q13:Q15) / SUMPRODUCT(J13:J15,O13:O15)</f>
        <v>0.93795217536193731</v>
      </c>
      <c r="T27" s="1">
        <v>95</v>
      </c>
      <c r="U27" s="1">
        <f>Interpolate_DistCurve(T27,TRUE,$F$5:$F$14,$I$5:$I$14,FALSE)</f>
        <v>1304.3816010218638</v>
      </c>
      <c r="V27" s="1">
        <f>Interpolate(T27,$H$6:$H$15,$P$6:$P$15)</f>
        <v>7.5738352742059956</v>
      </c>
    </row>
    <row r="28" spans="1:22" x14ac:dyDescent="0.45">
      <c r="T28" s="1">
        <v>99</v>
      </c>
      <c r="U28" s="1">
        <f>Interpolate_DistCurve(T28,TRUE,$F$5:$F$14,$I$5:$I$14,FALSE)</f>
        <v>1570.273919809571</v>
      </c>
      <c r="V28" s="1">
        <f>Interpolate(T28,$H$6:$H$15,$P$6:$P$15)</f>
        <v>3.4281494040846923</v>
      </c>
    </row>
    <row r="29" spans="1:22" x14ac:dyDescent="0.45">
      <c r="T29" s="1">
        <v>99.9</v>
      </c>
      <c r="U29" s="1">
        <f>Interpolate_DistCurve(T29,TRUE,$F$5:$F$14,$I$5:$I$14,FALSE)</f>
        <v>1868.3116564618731</v>
      </c>
      <c r="V29" s="1">
        <f>Interpolate(T29,$H$6:$H$15,$P$6:$P$15)</f>
        <v>2.4953700833073924</v>
      </c>
    </row>
  </sheetData>
  <mergeCells count="5">
    <mergeCell ref="B2:C2"/>
    <mergeCell ref="D2:F2"/>
    <mergeCell ref="G2:I2"/>
    <mergeCell ref="J2:K2"/>
    <mergeCell ref="M2:P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Jechura</dc:creator>
  <cp:lastModifiedBy>John Jechura</cp:lastModifiedBy>
  <dcterms:created xsi:type="dcterms:W3CDTF">2017-09-21T16:44:32Z</dcterms:created>
  <dcterms:modified xsi:type="dcterms:W3CDTF">2017-09-27T19:34:25Z</dcterms:modified>
</cp:coreProperties>
</file>